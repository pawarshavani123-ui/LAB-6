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C:\Users\Shravani pawar\Desktop\"/>
    </mc:Choice>
  </mc:AlternateContent>
  <xr:revisionPtr revIDLastSave="0" documentId="8_{69DD8BDD-AC3D-448C-9947-B1AF2653F0C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2" l="1"/>
  <c r="H3" i="2"/>
  <c r="H4" i="2"/>
  <c r="H5" i="2"/>
  <c r="H6" i="2"/>
  <c r="H7" i="2"/>
  <c r="H8" i="2"/>
  <c r="H9" i="2"/>
  <c r="H10" i="2"/>
  <c r="H11" i="2"/>
  <c r="H12" i="2"/>
  <c r="G2" i="2"/>
  <c r="G3" i="2"/>
  <c r="G4" i="2"/>
  <c r="G5" i="2"/>
  <c r="G6" i="2"/>
  <c r="G7" i="2"/>
  <c r="G8" i="2"/>
  <c r="G9" i="2"/>
  <c r="G10" i="2"/>
  <c r="G11" i="2"/>
  <c r="G12" i="2"/>
  <c r="F2" i="2"/>
  <c r="F3" i="2"/>
  <c r="F4" i="2"/>
  <c r="F5" i="2"/>
  <c r="F6" i="2"/>
  <c r="F7" i="2"/>
  <c r="F8" i="2"/>
  <c r="F9" i="2"/>
  <c r="F10" i="2"/>
  <c r="F11" i="2"/>
  <c r="F12" i="2"/>
  <c r="H2" i="1"/>
  <c r="H3" i="1"/>
  <c r="H4" i="1"/>
  <c r="H5" i="1"/>
  <c r="H6" i="1"/>
  <c r="H7" i="1"/>
  <c r="H8" i="1"/>
  <c r="H9" i="1"/>
  <c r="H10" i="1"/>
  <c r="H11" i="1"/>
  <c r="H12" i="1"/>
  <c r="G2" i="1"/>
  <c r="G3" i="1"/>
  <c r="G4" i="1"/>
  <c r="G5" i="1"/>
  <c r="G6" i="1"/>
  <c r="G7" i="1"/>
  <c r="G8" i="1"/>
  <c r="G9" i="1"/>
  <c r="G10" i="1"/>
  <c r="G11" i="1"/>
  <c r="G12" i="1"/>
  <c r="E2" i="1"/>
  <c r="E3" i="1"/>
  <c r="E4" i="1"/>
  <c r="E5" i="1"/>
  <c r="E6" i="1"/>
  <c r="E7" i="1"/>
  <c r="E8" i="1"/>
  <c r="E9" i="1"/>
  <c r="E10" i="1"/>
  <c r="E11" i="1"/>
  <c r="E12" i="1"/>
  <c r="F10" i="1"/>
  <c r="F2" i="1"/>
  <c r="F3" i="1"/>
  <c r="F4" i="1"/>
  <c r="F5" i="1"/>
  <c r="F6" i="1"/>
  <c r="F7" i="1"/>
  <c r="F8" i="1"/>
  <c r="F9" i="1"/>
  <c r="F11" i="1"/>
  <c r="F12" i="1"/>
  <c r="L11" i="1"/>
  <c r="L13" i="1"/>
  <c r="L12" i="1"/>
  <c r="O7" i="1"/>
  <c r="O6" i="1"/>
  <c r="O5" i="1"/>
  <c r="L7" i="1"/>
  <c r="L6" i="1"/>
  <c r="L5" i="1"/>
</calcChain>
</file>

<file path=xl/sharedStrings.xml><?xml version="1.0" encoding="utf-8"?>
<sst xmlns="http://schemas.openxmlformats.org/spreadsheetml/2006/main" count="74" uniqueCount="37">
  <si>
    <t>Employee</t>
  </si>
  <si>
    <t>Department</t>
  </si>
  <si>
    <t>Salary</t>
  </si>
  <si>
    <t>Sales</t>
  </si>
  <si>
    <t>Performance Score</t>
  </si>
  <si>
    <t>Rahul</t>
  </si>
  <si>
    <t>Priya</t>
  </si>
  <si>
    <t>HR</t>
  </si>
  <si>
    <t>Amit</t>
  </si>
  <si>
    <t>Sneha</t>
  </si>
  <si>
    <t>IT</t>
  </si>
  <si>
    <t>Karan</t>
  </si>
  <si>
    <t>Neha</t>
  </si>
  <si>
    <t>Rohit</t>
  </si>
  <si>
    <t>Pooja</t>
  </si>
  <si>
    <t>Akash</t>
  </si>
  <si>
    <t>Meena</t>
  </si>
  <si>
    <t>sumif</t>
  </si>
  <si>
    <t>avgif</t>
  </si>
  <si>
    <t>countif</t>
  </si>
  <si>
    <t>FOR IT</t>
  </si>
  <si>
    <t>FOR HR</t>
  </si>
  <si>
    <t>SUMIF</t>
  </si>
  <si>
    <t>AVGIF</t>
  </si>
  <si>
    <t>COUNTIF</t>
  </si>
  <si>
    <t>FOR SALES</t>
  </si>
  <si>
    <t>SUMIFS</t>
  </si>
  <si>
    <t>AVGIFS</t>
  </si>
  <si>
    <t>COUNTIFS</t>
  </si>
  <si>
    <t>Column1</t>
  </si>
  <si>
    <t>Column2</t>
  </si>
  <si>
    <t>IF</t>
  </si>
  <si>
    <t>Column3</t>
  </si>
  <si>
    <t>O</t>
  </si>
  <si>
    <t>IF WITH AND</t>
  </si>
  <si>
    <t>OR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</si>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</sst>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8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5117038483843"/>
        <bgColor theme="4" tint="0.79995117038483843"/>
      </patternFill>
    </fill>
  </fills>
  <borders count="7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4" tint="0.39994506668294322"/>
      </bottom>
      <diagonal/>
    </border>
    <border>
      <left/>
      <right/>
      <top style="thin">
        <color theme="4" tint="0.39994506668294322"/>
      </top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</cellXfs>
  <cellStyles count="1">
    <cellStyle name="Normal" xfId="0" builtinId="0"/>
  </cellStyles>
  <dxfs count="44"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numFmt numFmtId="0" formatCode="General"/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4" tint="0.39994506668294322"/>
        </top>
        <bottom style="thin">
          <color theme="4" tint="0.39994506668294322"/>
        </bottom>
        <vertical/>
        <horizontal/>
      </border>
    </dxf>
    <dxf>
      <border outline="0">
        <top style="thin">
          <color theme="4" tint="0.39994506668294322"/>
        </top>
      </border>
    </dxf>
    <dxf>
      <border outline="0">
        <bottom style="thin">
          <color theme="4" tint="0.39994506668294322"/>
        </bottom>
      </border>
    </dxf>
    <dxf>
      <border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charset val="134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theme="4" tint="0.79995117038483843"/>
          <bgColor theme="4" tint="0.79995117038483843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3"/>
      <tableStyleElement type="headerRow" dxfId="42"/>
      <tableStyleElement type="totalRow" dxfId="41"/>
      <tableStyleElement type="firstColumn" dxfId="40"/>
      <tableStyleElement type="lastColumn" dxfId="39"/>
      <tableStyleElement type="firstRowStripe" dxfId="38"/>
      <tableStyleElement type="firstColumnStripe" dxfId="37"/>
    </tableStyle>
    <tableStyle name="PivotStylePreset2_Accent1" table="0" count="10" xr9:uid="{267968C8-6FFD-4C36-ACC1-9EA1FD1885CA}">
      <tableStyleElement type="headerRow" dxfId="36"/>
      <tableStyleElement type="totalRow" dxfId="35"/>
      <tableStyleElement type="firstRowStripe" dxfId="34"/>
      <tableStyleElement type="firstColumnStripe" dxfId="33"/>
      <tableStyleElement type="firstSubtotalRow" dxfId="32"/>
      <tableStyleElement type="secondSubtotalRow" dxfId="31"/>
      <tableStyleElement type="firstRowSubheading" dxfId="30"/>
      <tableStyleElement type="secondRowSubheading" dxfId="29"/>
      <tableStyleElement type="pageFieldLabels" dxfId="28"/>
      <tableStyleElement type="pageFieldValues" dxfId="2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6AAC6CF-339D-493F-AC13-D221C26B4AA0}" name="Table2" displayName="Table2" ref="A1:I12" totalsRowShown="0" headerRowDxfId="7" dataDxfId="8" headerRowBorderDxfId="15" tableBorderDxfId="16" totalsRowBorderDxfId="14">
  <autoFilter ref="A1:I12" xr:uid="{F6AAC6CF-339D-493F-AC13-D221C26B4AA0}"/>
  <tableColumns count="9">
    <tableColumn id="1" xr3:uid="{D485E590-FD9E-48E1-820F-EF7424346347}" name="Employee" dataDxfId="13"/>
    <tableColumn id="2" xr3:uid="{F165E109-F36E-45E5-BEB3-D2DF4230CC2B}" name="Department" dataDxfId="12"/>
    <tableColumn id="3" xr3:uid="{8442EA93-4622-424A-8500-C1F864E0D7DC}" name="Salary" dataDxfId="11"/>
    <tableColumn id="4" xr3:uid="{F227A9E3-A28B-4F0E-9E44-18B845ECC96C}" name="Sales" dataDxfId="10"/>
    <tableColumn id="8" xr3:uid="{A193840C-ABE3-410D-BA67-817D20744BB1}" name="IF" dataDxfId="5">
      <calculatedColumnFormula>IF(I2&gt;80,"GOOD","BAD")</calculatedColumnFormula>
    </tableColumn>
    <tableColumn id="7" xr3:uid="{5AC543D2-4842-4D36-A14D-B906993F956E}" name="Column1" dataDxfId="6">
      <calculatedColumnFormula>IF(I2&gt;90,"A",IF(I2&gt;75,"B",IF(I2&lt;=75,"C")))</calculatedColumnFormula>
    </tableColumn>
    <tableColumn id="9" xr3:uid="{7AE3CB58-3675-40A7-B7A9-314D83F30AF2}" name="Column2" dataDxfId="4">
      <calculatedColumnFormula>IF(B3="IT","YES","NO")</calculatedColumnFormula>
    </tableColumn>
    <tableColumn id="10" xr3:uid="{ABD6129D-D9A0-423F-9328-D45F32375B4C}" name="Column3" dataDxfId="3">
      <calculatedColumnFormula>IFERROR(10/D3,"ERROR")</calculatedColumnFormula>
    </tableColumn>
    <tableColumn id="5" xr3:uid="{31B71E35-8999-4967-99EA-86023BFA1F24}" name="Performance Score" dataDxfId="9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101849-99E4-444F-A8C6-67BE1E0E95FB}" name="Table1" displayName="Table1" ref="A1:H12" totalsRowShown="0" headerRowDxfId="17" dataDxfId="26" headerRowBorderDxfId="24" tableBorderDxfId="25" totalsRowBorderDxfId="23">
  <autoFilter ref="A1:H12" xr:uid="{A8101849-99E4-444F-A8C6-67BE1E0E95FB}"/>
  <tableColumns count="8">
    <tableColumn id="1" xr3:uid="{E65B3EC3-099F-45B0-BED8-E4282B6B56D2}" name="Employee" dataDxfId="22"/>
    <tableColumn id="2" xr3:uid="{0A270C77-915A-494D-B690-3E8838DFB814}" name="Department" dataDxfId="21"/>
    <tableColumn id="3" xr3:uid="{DF08F2DC-B307-46C6-86F4-A26D02FB9086}" name="Salary" dataDxfId="20"/>
    <tableColumn id="4" xr3:uid="{F5593C72-7C7E-4A50-94D3-41B1436468BF}" name="Sales" dataDxfId="19"/>
    <tableColumn id="5" xr3:uid="{CC5F3446-0280-46E0-87E0-FF54CC33DF93}" name="Performance Score" dataDxfId="18"/>
    <tableColumn id="6" xr3:uid="{806B41DE-59EF-4BDC-9A67-4BEB83258D59}" name="IF WITH AND" dataDxfId="2">
      <calculatedColumnFormula>IF(AND(B2="SALES",A2="RAHUL"),"YES","NO")</calculatedColumnFormula>
    </tableColumn>
    <tableColumn id="7" xr3:uid="{E95D2BD4-3C9D-4D74-AF57-8485F23F9CD9}" name="OR" dataDxfId="1">
      <calculatedColumnFormula>IF(OR(B2="HR",A2="RAHUL"),"YES","NO")</calculatedColumnFormula>
    </tableColumn>
    <tableColumn id="8" xr3:uid="{241C3D5E-BDAA-4874-B75F-88EC575F5168}" name="NOT" dataDxfId="0">
      <calculatedColumnFormula>IF(NOT(B3="HR"),"YES","NO")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zoomScale="122" zoomScaleNormal="122" workbookViewId="0">
      <selection activeCell="H2" sqref="H2"/>
    </sheetView>
  </sheetViews>
  <sheetFormatPr defaultColWidth="8.88671875" defaultRowHeight="14.4"/>
  <cols>
    <col min="1" max="1" width="14" customWidth="1"/>
    <col min="2" max="2" width="15.6640625" customWidth="1"/>
    <col min="3" max="3" width="13.44140625" customWidth="1"/>
    <col min="4" max="8" width="14.21875" customWidth="1"/>
    <col min="9" max="9" width="18.21875" customWidth="1"/>
  </cols>
  <sheetData>
    <row r="1" spans="1:15">
      <c r="A1" s="10" t="s">
        <v>0</v>
      </c>
      <c r="B1" s="10" t="s">
        <v>1</v>
      </c>
      <c r="C1" s="10" t="s">
        <v>2</v>
      </c>
      <c r="D1" s="10" t="s">
        <v>3</v>
      </c>
      <c r="E1" s="10" t="s">
        <v>31</v>
      </c>
      <c r="F1" s="10" t="s">
        <v>29</v>
      </c>
      <c r="G1" s="10" t="s">
        <v>30</v>
      </c>
      <c r="H1" s="10" t="s">
        <v>32</v>
      </c>
      <c r="I1" s="10" t="s">
        <v>4</v>
      </c>
    </row>
    <row r="2" spans="1:15">
      <c r="A2" s="1" t="s">
        <v>5</v>
      </c>
      <c r="B2" s="1" t="s">
        <v>3</v>
      </c>
      <c r="C2" s="1">
        <v>35000</v>
      </c>
      <c r="D2" s="1">
        <v>0</v>
      </c>
      <c r="E2" s="1" t="str">
        <f>IF(I2&gt;80,"GOOD","BAD")</f>
        <v>GOOD</v>
      </c>
      <c r="F2" s="1" t="str">
        <f>IF(I2&gt;90,"A",IF(I2&gt;75,"B",IF(I2&lt;=75,"C")))</f>
        <v>B</v>
      </c>
      <c r="G2" s="1" t="str">
        <f t="shared" ref="G2:G12" si="0">IF(B3="IT","YES","NO")</f>
        <v>NO</v>
      </c>
      <c r="H2" s="1">
        <f>IFERROR(10/C3,"ERROR")</f>
        <v>2.5000000000000001E-4</v>
      </c>
      <c r="I2" s="1">
        <v>82</v>
      </c>
    </row>
    <row r="3" spans="1:15">
      <c r="A3" s="2" t="s">
        <v>6</v>
      </c>
      <c r="B3" s="2" t="s">
        <v>7</v>
      </c>
      <c r="C3" s="2">
        <v>40000</v>
      </c>
      <c r="D3" s="2">
        <v>60000</v>
      </c>
      <c r="E3" s="2" t="str">
        <f>IF(I3&gt;80,"GOOD","BAD")</f>
        <v>BAD</v>
      </c>
      <c r="F3" s="2" t="str">
        <f>IF(I3&gt;90,"A",IF(I3&gt;75,"B",IF(I3&lt;=75,"C")))</f>
        <v>C</v>
      </c>
      <c r="G3" s="2" t="str">
        <f t="shared" si="0"/>
        <v>NO</v>
      </c>
      <c r="H3" s="2">
        <f t="shared" ref="H3:H12" si="1">IFERROR(10/D4,"ERROR")</f>
        <v>1.0526315789473685E-4</v>
      </c>
      <c r="I3" s="2">
        <v>75</v>
      </c>
    </row>
    <row r="4" spans="1:15">
      <c r="A4" s="1" t="s">
        <v>8</v>
      </c>
      <c r="B4" s="1" t="s">
        <v>3</v>
      </c>
      <c r="C4" s="1">
        <v>45000</v>
      </c>
      <c r="D4" s="1">
        <v>95000</v>
      </c>
      <c r="E4" s="1" t="str">
        <f>IF(I4&gt;80,"GOOD","BAD")</f>
        <v>GOOD</v>
      </c>
      <c r="F4" s="1" t="str">
        <f>IF(I4&gt;90,"A",IF(I4&gt;75,"B",IF(I4&lt;=75,"C")))</f>
        <v>A</v>
      </c>
      <c r="G4" s="1" t="str">
        <f t="shared" si="0"/>
        <v>YES</v>
      </c>
      <c r="H4" s="1">
        <f t="shared" si="1"/>
        <v>1.4285714285714287E-4</v>
      </c>
      <c r="I4" s="1">
        <v>91</v>
      </c>
      <c r="K4" s="3" t="s">
        <v>20</v>
      </c>
      <c r="L4" s="3"/>
      <c r="N4" s="3" t="s">
        <v>21</v>
      </c>
      <c r="O4" s="3"/>
    </row>
    <row r="5" spans="1:15">
      <c r="A5" s="2" t="s">
        <v>9</v>
      </c>
      <c r="B5" s="2" t="s">
        <v>10</v>
      </c>
      <c r="C5" s="2">
        <v>50000</v>
      </c>
      <c r="D5" s="2">
        <v>70000</v>
      </c>
      <c r="E5" s="2" t="str">
        <f>IF(I5&gt;80,"GOOD","BAD")</f>
        <v>GOOD</v>
      </c>
      <c r="F5" s="2" t="str">
        <f>IF(I5&gt;90,"A",IF(I5&gt;75,"B",IF(I5&lt;=75,"C")))</f>
        <v>B</v>
      </c>
      <c r="G5" s="2" t="str">
        <f t="shared" si="0"/>
        <v>NO</v>
      </c>
      <c r="H5" s="2">
        <f t="shared" si="1"/>
        <v>1.2820512820512821E-4</v>
      </c>
      <c r="I5" s="2">
        <v>88</v>
      </c>
      <c r="K5" t="s">
        <v>17</v>
      </c>
      <c r="L5">
        <f>SUMIF(B2:B12,"IT",D2:D12)</f>
        <v>175000</v>
      </c>
      <c r="N5" t="s">
        <v>22</v>
      </c>
      <c r="O5">
        <f>SUMIF(B2:B12,"HR",D2:D12)</f>
        <v>183000</v>
      </c>
    </row>
    <row r="6" spans="1:15">
      <c r="A6" s="1" t="s">
        <v>11</v>
      </c>
      <c r="B6" s="1" t="s">
        <v>3</v>
      </c>
      <c r="C6" s="1">
        <v>38000</v>
      </c>
      <c r="D6" s="1">
        <v>78000</v>
      </c>
      <c r="E6" s="1" t="str">
        <f>IF(I6&gt;80,"GOOD","BAD")</f>
        <v>BAD</v>
      </c>
      <c r="F6" s="1" t="str">
        <f>IF(I6&gt;90,"A",IF(I6&gt;75,"B",IF(I6&lt;=75,"C")))</f>
        <v>C</v>
      </c>
      <c r="G6" s="1" t="str">
        <f t="shared" si="0"/>
        <v>NO</v>
      </c>
      <c r="H6" s="1">
        <f t="shared" si="1"/>
        <v>1.5384615384615385E-4</v>
      </c>
      <c r="I6" s="1">
        <v>72</v>
      </c>
      <c r="K6" t="s">
        <v>18</v>
      </c>
      <c r="L6">
        <f>AVERAGEIF(B2:B12,"IT",D2:D12)</f>
        <v>87500</v>
      </c>
      <c r="N6" t="s">
        <v>23</v>
      </c>
      <c r="O6">
        <f>AVERAGEIF(B2:B12,"HR",D2:D12)</f>
        <v>61000</v>
      </c>
    </row>
    <row r="7" spans="1:15">
      <c r="A7" s="2" t="s">
        <v>12</v>
      </c>
      <c r="B7" s="2" t="s">
        <v>7</v>
      </c>
      <c r="C7" s="2">
        <v>42000</v>
      </c>
      <c r="D7" s="2">
        <v>65000</v>
      </c>
      <c r="E7" s="2" t="str">
        <f>IF(I7&gt;80,"GOOD","BAD")</f>
        <v>BAD</v>
      </c>
      <c r="F7" s="2" t="str">
        <f>IF(I7&gt;90,"A",IF(I7&gt;75,"B",IF(I7&lt;=75,"C")))</f>
        <v>B</v>
      </c>
      <c r="G7" s="2" t="str">
        <f t="shared" si="0"/>
        <v>YES</v>
      </c>
      <c r="H7" s="2">
        <f t="shared" si="1"/>
        <v>9.5238095238095241E-5</v>
      </c>
      <c r="I7" s="2">
        <v>80</v>
      </c>
      <c r="K7" t="s">
        <v>19</v>
      </c>
      <c r="L7">
        <f>COUNTIF(B2:B12,"IT")</f>
        <v>3</v>
      </c>
      <c r="N7" t="s">
        <v>24</v>
      </c>
      <c r="O7">
        <f>COUNTIF(B2:B12,"HR")</f>
        <v>3</v>
      </c>
    </row>
    <row r="8" spans="1:15">
      <c r="A8" s="1" t="s">
        <v>13</v>
      </c>
      <c r="B8" s="1" t="s">
        <v>10</v>
      </c>
      <c r="C8" s="1">
        <v>55000</v>
      </c>
      <c r="D8" s="1">
        <v>105000</v>
      </c>
      <c r="E8" s="1" t="str">
        <f>IF(I8&gt;80,"GOOD","BAD")</f>
        <v>GOOD</v>
      </c>
      <c r="F8" s="1" t="str">
        <f>IF(I8&gt;90,"A",IF(I8&gt;75,"B",IF(I8&lt;=75,"C")))</f>
        <v>A</v>
      </c>
      <c r="G8" s="1" t="str">
        <f t="shared" si="0"/>
        <v>NO</v>
      </c>
      <c r="H8" s="1">
        <f t="shared" si="1"/>
        <v>1.3888888888888889E-4</v>
      </c>
      <c r="I8" s="1">
        <v>95</v>
      </c>
    </row>
    <row r="9" spans="1:15">
      <c r="A9" s="2" t="s">
        <v>14</v>
      </c>
      <c r="B9" s="2" t="s">
        <v>3</v>
      </c>
      <c r="C9" s="2">
        <v>36000</v>
      </c>
      <c r="D9" s="2">
        <v>72000</v>
      </c>
      <c r="E9" s="2" t="str">
        <f>IF(I9&gt;80,"GOOD","BAD")</f>
        <v>BAD</v>
      </c>
      <c r="F9" s="2" t="str">
        <f>IF(I9&gt;90,"A",IF(I9&gt;75,"B",IF(I9&lt;=75,"C")))</f>
        <v>C</v>
      </c>
      <c r="G9" s="2" t="str">
        <f t="shared" si="0"/>
        <v>YES</v>
      </c>
      <c r="H9" s="2" t="str">
        <f t="shared" si="1"/>
        <v>ERROR</v>
      </c>
      <c r="I9" s="2">
        <v>68</v>
      </c>
    </row>
    <row r="10" spans="1:15">
      <c r="A10" s="1" t="s">
        <v>15</v>
      </c>
      <c r="B10" s="1" t="s">
        <v>10</v>
      </c>
      <c r="C10" s="1">
        <v>48000</v>
      </c>
      <c r="D10" s="1" t="s">
        <v>33</v>
      </c>
      <c r="E10" s="1" t="str">
        <f>IF(I10&gt;80,"GOOD","BAD")</f>
        <v>GOOD</v>
      </c>
      <c r="F10" s="1" t="str">
        <f>IF(I10&gt;90,"A",IF(I10&gt;75,"B",IF(I10&lt;=75,"C")))</f>
        <v>B</v>
      </c>
      <c r="G10" s="1" t="str">
        <f t="shared" si="0"/>
        <v>NO</v>
      </c>
      <c r="H10" s="1">
        <f t="shared" si="1"/>
        <v>1.7241379310344826E-4</v>
      </c>
      <c r="I10" s="1">
        <v>85</v>
      </c>
      <c r="K10" s="3" t="s">
        <v>25</v>
      </c>
      <c r="L10" s="3"/>
    </row>
    <row r="11" spans="1:15">
      <c r="A11" s="2" t="s">
        <v>16</v>
      </c>
      <c r="B11" s="2" t="s">
        <v>7</v>
      </c>
      <c r="C11" s="2">
        <v>39000</v>
      </c>
      <c r="D11" s="2">
        <v>58000</v>
      </c>
      <c r="E11" s="2" t="str">
        <f>IF(I11&gt;80,"GOOD","BAD")</f>
        <v>BAD</v>
      </c>
      <c r="F11" s="2" t="str">
        <f>IF(I11&gt;90,"A",IF(I11&gt;75,"B",IF(I11&lt;=75,"C")))</f>
        <v>C</v>
      </c>
      <c r="G11" s="2" t="str">
        <f t="shared" si="0"/>
        <v>NO</v>
      </c>
      <c r="H11" s="2">
        <f t="shared" si="1"/>
        <v>1.1764705882352942E-4</v>
      </c>
      <c r="I11" s="2">
        <v>70</v>
      </c>
      <c r="K11" t="s">
        <v>26</v>
      </c>
      <c r="L11">
        <f>SUMIFS(D2:D12,B2:B12,"SALES")</f>
        <v>330000</v>
      </c>
    </row>
    <row r="12" spans="1:15">
      <c r="A12" s="11" t="s">
        <v>5</v>
      </c>
      <c r="B12" s="11" t="s">
        <v>3</v>
      </c>
      <c r="C12" s="11">
        <v>35000</v>
      </c>
      <c r="D12" s="11">
        <v>85000</v>
      </c>
      <c r="E12" s="11" t="str">
        <f>IF(I12&gt;80,"GOOD","BAD")</f>
        <v>GOOD</v>
      </c>
      <c r="F12" s="11" t="str">
        <f>IF(I12&gt;90,"A",IF(I12&gt;75,"B",IF(I12&lt;=75,"C")))</f>
        <v>B</v>
      </c>
      <c r="G12" s="11" t="str">
        <f t="shared" si="0"/>
        <v>NO</v>
      </c>
      <c r="H12" s="11" t="str">
        <f t="shared" si="1"/>
        <v>ERROR</v>
      </c>
      <c r="I12" s="11">
        <v>82</v>
      </c>
      <c r="K12" t="s">
        <v>27</v>
      </c>
      <c r="L12">
        <f>AVERAGEIFS(D2:D12,A2:A12,"RAHUL")</f>
        <v>42500</v>
      </c>
    </row>
    <row r="13" spans="1:15">
      <c r="K13" t="s">
        <v>28</v>
      </c>
      <c r="L13">
        <f>COUNTIFS(A2:A12,"RAHUL")</f>
        <v>2</v>
      </c>
    </row>
  </sheetData>
  <mergeCells count="3">
    <mergeCell ref="K4:L4"/>
    <mergeCell ref="N4:O4"/>
    <mergeCell ref="K10:L10"/>
  </mergeCells>
  <phoneticPr fontId="2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158D-94ED-4672-B2F0-3A0F75958D15}">
  <dimension ref="A1:H12"/>
  <sheetViews>
    <sheetView tabSelected="1" workbookViewId="0">
      <selection activeCell="H3" sqref="H3"/>
    </sheetView>
  </sheetViews>
  <sheetFormatPr defaultRowHeight="14.4"/>
  <cols>
    <col min="1" max="1" width="16.33203125" customWidth="1"/>
    <col min="2" max="2" width="22" customWidth="1"/>
    <col min="3" max="3" width="18.77734375" customWidth="1"/>
    <col min="4" max="4" width="15.109375" customWidth="1"/>
    <col min="5" max="5" width="18.88671875" customWidth="1"/>
    <col min="6" max="7" width="15.77734375" customWidth="1"/>
  </cols>
  <sheetData>
    <row r="1" spans="1: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34</v>
      </c>
      <c r="G1" s="7" t="s">
        <v>35</v>
      </c>
      <c r="H1" s="7" t="s">
        <v>36</v>
      </c>
    </row>
    <row r="2" spans="1:8">
      <c r="A2" s="5" t="s">
        <v>5</v>
      </c>
      <c r="B2" s="5" t="s">
        <v>3</v>
      </c>
      <c r="C2" s="5">
        <v>35000</v>
      </c>
      <c r="D2" s="5">
        <v>85000</v>
      </c>
      <c r="E2" s="5">
        <v>82</v>
      </c>
      <c r="F2" s="5" t="str">
        <f t="shared" ref="F2:F12" si="0">IF(AND(B2="SALES",A2="RAHUL"),"YES","NO")</f>
        <v>YES</v>
      </c>
      <c r="G2" s="9" t="str">
        <f t="shared" ref="G2:G12" si="1">IF(OR(B2="HR",A2="RAHUL"),"YES","NO")</f>
        <v>YES</v>
      </c>
      <c r="H2" s="9" t="str">
        <f t="shared" ref="H2:H12" si="2">IF(NOT(B3="HR"),"YES","NO")</f>
        <v>NO</v>
      </c>
    </row>
    <row r="3" spans="1:8">
      <c r="A3" s="6" t="s">
        <v>6</v>
      </c>
      <c r="B3" s="6" t="s">
        <v>7</v>
      </c>
      <c r="C3" s="6">
        <v>40000</v>
      </c>
      <c r="D3" s="6">
        <v>60000</v>
      </c>
      <c r="E3" s="6">
        <v>75</v>
      </c>
      <c r="F3" s="6" t="str">
        <f t="shared" si="0"/>
        <v>NO</v>
      </c>
      <c r="G3" s="5" t="str">
        <f t="shared" si="1"/>
        <v>YES</v>
      </c>
      <c r="H3" s="5" t="str">
        <f t="shared" si="2"/>
        <v>YES</v>
      </c>
    </row>
    <row r="4" spans="1:8">
      <c r="A4" s="5" t="s">
        <v>8</v>
      </c>
      <c r="B4" s="5" t="s">
        <v>3</v>
      </c>
      <c r="C4" s="5">
        <v>45000</v>
      </c>
      <c r="D4" s="5">
        <v>95000</v>
      </c>
      <c r="E4" s="5">
        <v>91</v>
      </c>
      <c r="F4" s="5" t="str">
        <f t="shared" si="0"/>
        <v>NO</v>
      </c>
      <c r="G4" s="5" t="str">
        <f t="shared" si="1"/>
        <v>NO</v>
      </c>
      <c r="H4" s="5" t="str">
        <f t="shared" si="2"/>
        <v>YES</v>
      </c>
    </row>
    <row r="5" spans="1:8">
      <c r="A5" s="6" t="s">
        <v>9</v>
      </c>
      <c r="B5" s="6" t="s">
        <v>10</v>
      </c>
      <c r="C5" s="6">
        <v>50000</v>
      </c>
      <c r="D5" s="6">
        <v>70000</v>
      </c>
      <c r="E5" s="6">
        <v>88</v>
      </c>
      <c r="F5" s="6" t="str">
        <f t="shared" si="0"/>
        <v>NO</v>
      </c>
      <c r="G5" s="5" t="str">
        <f t="shared" si="1"/>
        <v>NO</v>
      </c>
      <c r="H5" s="5" t="str">
        <f t="shared" si="2"/>
        <v>YES</v>
      </c>
    </row>
    <row r="6" spans="1:8">
      <c r="A6" s="5" t="s">
        <v>11</v>
      </c>
      <c r="B6" s="5" t="s">
        <v>3</v>
      </c>
      <c r="C6" s="5">
        <v>38000</v>
      </c>
      <c r="D6" s="5">
        <v>78000</v>
      </c>
      <c r="E6" s="5">
        <v>72</v>
      </c>
      <c r="F6" s="5" t="str">
        <f t="shared" si="0"/>
        <v>NO</v>
      </c>
      <c r="G6" s="5" t="str">
        <f t="shared" si="1"/>
        <v>NO</v>
      </c>
      <c r="H6" s="5" t="str">
        <f t="shared" si="2"/>
        <v>NO</v>
      </c>
    </row>
    <row r="7" spans="1:8">
      <c r="A7" s="6" t="s">
        <v>12</v>
      </c>
      <c r="B7" s="6" t="s">
        <v>7</v>
      </c>
      <c r="C7" s="6">
        <v>42000</v>
      </c>
      <c r="D7" s="6">
        <v>65000</v>
      </c>
      <c r="E7" s="6">
        <v>80</v>
      </c>
      <c r="F7" s="6" t="str">
        <f t="shared" si="0"/>
        <v>NO</v>
      </c>
      <c r="G7" s="5" t="str">
        <f t="shared" si="1"/>
        <v>YES</v>
      </c>
      <c r="H7" s="5" t="str">
        <f t="shared" si="2"/>
        <v>YES</v>
      </c>
    </row>
    <row r="8" spans="1:8">
      <c r="A8" s="5" t="s">
        <v>13</v>
      </c>
      <c r="B8" s="5" t="s">
        <v>10</v>
      </c>
      <c r="C8" s="5">
        <v>55000</v>
      </c>
      <c r="D8" s="5">
        <v>105000</v>
      </c>
      <c r="E8" s="5">
        <v>95</v>
      </c>
      <c r="F8" s="5" t="str">
        <f t="shared" si="0"/>
        <v>NO</v>
      </c>
      <c r="G8" s="5" t="str">
        <f t="shared" si="1"/>
        <v>NO</v>
      </c>
      <c r="H8" s="5" t="str">
        <f t="shared" si="2"/>
        <v>YES</v>
      </c>
    </row>
    <row r="9" spans="1:8">
      <c r="A9" s="6" t="s">
        <v>14</v>
      </c>
      <c r="B9" s="6" t="s">
        <v>3</v>
      </c>
      <c r="C9" s="6">
        <v>36000</v>
      </c>
      <c r="D9" s="6">
        <v>72000</v>
      </c>
      <c r="E9" s="6">
        <v>68</v>
      </c>
      <c r="F9" s="6" t="str">
        <f t="shared" si="0"/>
        <v>NO</v>
      </c>
      <c r="G9" s="5" t="str">
        <f t="shared" si="1"/>
        <v>NO</v>
      </c>
      <c r="H9" s="5" t="str">
        <f t="shared" si="2"/>
        <v>YES</v>
      </c>
    </row>
    <row r="10" spans="1:8">
      <c r="A10" s="5" t="s">
        <v>15</v>
      </c>
      <c r="B10" s="5" t="s">
        <v>10</v>
      </c>
      <c r="C10" s="5">
        <v>48000</v>
      </c>
      <c r="D10" s="5">
        <v>90000</v>
      </c>
      <c r="E10" s="5">
        <v>85</v>
      </c>
      <c r="F10" s="5" t="str">
        <f t="shared" si="0"/>
        <v>NO</v>
      </c>
      <c r="G10" s="5" t="str">
        <f t="shared" si="1"/>
        <v>NO</v>
      </c>
      <c r="H10" s="5" t="str">
        <f t="shared" si="2"/>
        <v>NO</v>
      </c>
    </row>
    <row r="11" spans="1:8">
      <c r="A11" s="6" t="s">
        <v>16</v>
      </c>
      <c r="B11" s="6" t="s">
        <v>7</v>
      </c>
      <c r="C11" s="6">
        <v>39000</v>
      </c>
      <c r="D11" s="6">
        <v>58000</v>
      </c>
      <c r="E11" s="6">
        <v>70</v>
      </c>
      <c r="F11" s="6" t="str">
        <f t="shared" si="0"/>
        <v>NO</v>
      </c>
      <c r="G11" s="5" t="str">
        <f t="shared" si="1"/>
        <v>YES</v>
      </c>
      <c r="H11" s="5" t="str">
        <f t="shared" si="2"/>
        <v>YES</v>
      </c>
    </row>
    <row r="12" spans="1:8">
      <c r="A12" s="5" t="s">
        <v>5</v>
      </c>
      <c r="B12" s="5" t="s">
        <v>3</v>
      </c>
      <c r="C12" s="5">
        <v>35000</v>
      </c>
      <c r="D12" s="5">
        <v>85000</v>
      </c>
      <c r="E12" s="5">
        <v>82</v>
      </c>
      <c r="F12" s="5" t="str">
        <f t="shared" si="0"/>
        <v>YES</v>
      </c>
      <c r="G12" s="8" t="str">
        <f t="shared" si="1"/>
        <v>YES</v>
      </c>
      <c r="H12" s="8" t="str">
        <f t="shared" si="2"/>
        <v>YES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shravani pawar</cp:lastModifiedBy>
  <dcterms:created xsi:type="dcterms:W3CDTF">2026-10-07T04:46:25Z</dcterms:created>
  <dcterms:modified xsi:type="dcterms:W3CDTF">2026-10-15T09:22:54Z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C966600769CA478EBCBC0AC4EC9F96A9_11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